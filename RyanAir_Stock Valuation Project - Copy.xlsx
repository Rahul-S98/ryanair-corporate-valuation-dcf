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c9c8588f366199/Desktop/Rahul - MSc Fintech/Practice/Ryanair Stock Valuation Project/"/>
    </mc:Choice>
  </mc:AlternateContent>
  <xr:revisionPtr revIDLastSave="117" documentId="8_{36CE39BE-66BC-407C-B3AE-99F9CAE19BD2}" xr6:coauthVersionLast="47" xr6:coauthVersionMax="47" xr10:uidLastSave="{91FDFFE1-B32B-4F28-81B4-F0035B06DE14}"/>
  <bookViews>
    <workbookView xWindow="-110" yWindow="-110" windowWidth="19420" windowHeight="11500" xr2:uid="{F404114A-FFC2-43F8-AD41-ECAD8ABCBC08}"/>
  </bookViews>
  <sheets>
    <sheet name="Valuation Summary" sheetId="1" r:id="rId1"/>
    <sheet name="DCF Model &amp;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1" i="1"/>
  <c r="B8" i="1"/>
  <c r="B9" i="1" s="1"/>
  <c r="B7" i="1"/>
  <c r="C30" i="2"/>
  <c r="D30" i="2"/>
  <c r="C27" i="2"/>
  <c r="D27" i="2"/>
  <c r="C26" i="2"/>
  <c r="D26" i="2"/>
  <c r="E26" i="2" s="1"/>
  <c r="B30" i="2"/>
  <c r="B27" i="2"/>
  <c r="B26" i="2"/>
  <c r="B10" i="1" l="1"/>
  <c r="B12" i="1" s="1"/>
  <c r="B14" i="1" s="1"/>
  <c r="F26" i="2"/>
  <c r="E27" i="2"/>
  <c r="E28" i="2" s="1"/>
  <c r="E29" i="2" s="1"/>
  <c r="F27" i="2" l="1"/>
  <c r="F28" i="2" s="1"/>
  <c r="F29" i="2" s="1"/>
  <c r="G26" i="2"/>
  <c r="G27" i="2" l="1"/>
  <c r="G28" i="2" s="1"/>
  <c r="G29" i="2" s="1"/>
  <c r="H26" i="2"/>
  <c r="H27" i="2" l="1"/>
  <c r="H28" i="2" s="1"/>
  <c r="H29" i="2" s="1"/>
  <c r="I26" i="2"/>
  <c r="I27" i="2" s="1"/>
  <c r="I28" i="2" s="1"/>
  <c r="I29" i="2" s="1"/>
</calcChain>
</file>

<file path=xl/sharedStrings.xml><?xml version="1.0" encoding="utf-8"?>
<sst xmlns="http://schemas.openxmlformats.org/spreadsheetml/2006/main" count="62" uniqueCount="55">
  <si>
    <t>Total Operating Revenue</t>
  </si>
  <si>
    <t>Operating Profit</t>
  </si>
  <si>
    <t>Profit of the year</t>
  </si>
  <si>
    <t>FY-2026
in Millions</t>
  </si>
  <si>
    <t>FY-2025
in Millions</t>
  </si>
  <si>
    <t>FY-2024
in Millions</t>
  </si>
  <si>
    <t>Depreciation</t>
  </si>
  <si>
    <t>Capital Expenditure</t>
  </si>
  <si>
    <t>Ryanair Holdings plc (RYAAY) - Discounted Cash Flow Valuation Model</t>
  </si>
  <si>
    <t>I. Valuation Assumptions</t>
  </si>
  <si>
    <t>Revenue Growth Rate</t>
  </si>
  <si>
    <t>Target EBIT Margin</t>
  </si>
  <si>
    <t>Irish Corporate Tax Rate</t>
  </si>
  <si>
    <t>Weighted Average Cost of Capital (WACC)</t>
  </si>
  <si>
    <t>Terminal Growth Rate (g)</t>
  </si>
  <si>
    <t>Shares Outstanding (Millions)</t>
  </si>
  <si>
    <t>Net Cash Poisition (Millions)</t>
  </si>
  <si>
    <t>Previous 3 years data</t>
  </si>
  <si>
    <t>II. Financial Analysis and Projections</t>
  </si>
  <si>
    <t>Line Items (Euros in millions)</t>
  </si>
  <si>
    <t>Operating Profit (EBIT)</t>
  </si>
  <si>
    <t>Net Operating Profit After Tax (NOPAT / FCFF)</t>
  </si>
  <si>
    <t>Present Value of FCFF</t>
  </si>
  <si>
    <t>FY2024(A)</t>
  </si>
  <si>
    <t>FY2025(A)</t>
  </si>
  <si>
    <t>FY2026(A)</t>
  </si>
  <si>
    <t>-</t>
  </si>
  <si>
    <t>Line Items</t>
  </si>
  <si>
    <t>FY26 Operating Profit/Operating Revenue</t>
  </si>
  <si>
    <t>Valuation Step / Output Component</t>
  </si>
  <si>
    <t>Value (€ Millions)</t>
  </si>
  <si>
    <t>Cumulative Present Value of 5-Yr Cash Flows</t>
  </si>
  <si>
    <t>Sum of explicit forecast PV rows (FY2027 - FY2031)</t>
  </si>
  <si>
    <t>Terminal Value at Year 5 (Un-discounted)</t>
  </si>
  <si>
    <t>Present Value of Terminal Value</t>
  </si>
  <si>
    <t>Terminal Value discounted back 5 periods to present day</t>
  </si>
  <si>
    <t>Total Corporate Enterprise Value</t>
  </si>
  <si>
    <t>PV of Explicit Cash Flows + PV of Terminal Value</t>
  </si>
  <si>
    <t>Add: Net Cash Position (Liquidity Surplus)</t>
  </si>
  <si>
    <t>Balance Sheet Net Cash Allocation (FY2026 Audit)</t>
  </si>
  <si>
    <t>Total Target Equity Value</t>
  </si>
  <si>
    <t>Enterprise Value + Net Corporate Liquid Positions</t>
  </si>
  <si>
    <t>Divided By: Common Shares Outstanding</t>
  </si>
  <si>
    <t>Total outstanding share pool count</t>
  </si>
  <si>
    <t>Total Equity Value / Outstanding Shares pool</t>
  </si>
  <si>
    <t>(FCFF (Yr 5) * (1 + g))/ (WACC - g)</t>
  </si>
  <si>
    <t>Ryanair Holdings plc (RYAAY) - Equity Valuation Dashboard</t>
  </si>
  <si>
    <t>Source</t>
  </si>
  <si>
    <t>TARGET INTRINSIC PRICE PER SHARE</t>
  </si>
  <si>
    <t>Base for these assumptions</t>
  </si>
  <si>
    <t>FY2027(P)</t>
  </si>
  <si>
    <t>FY2028(P)</t>
  </si>
  <si>
    <t>FY2029(P)</t>
  </si>
  <si>
    <t>FY2030(P)</t>
  </si>
  <si>
    <t>FY2031(P)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</si>
</sst>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€-2]\ * #,##0.00_ ;_ [$€-2]\ * \-#,##0.00_ ;_ [$€-2]\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26"/>
      <color theme="0" tint="-4.9989318521683403E-2"/>
      <name val="Calibri"/>
      <family val="2"/>
    </font>
    <font>
      <b/>
      <sz val="11"/>
      <color theme="0" tint="-4.9989318521683403E-2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1"/>
      <color theme="1"/>
      <name val="Calibri"/>
      <family val="2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6" fillId="0" borderId="0" xfId="0" applyFont="1"/>
    <xf numFmtId="0" fontId="7" fillId="2" borderId="0" xfId="0" applyFont="1" applyFill="1"/>
    <xf numFmtId="0" fontId="7" fillId="2" borderId="0" xfId="0" applyFont="1" applyFill="1" applyAlignment="1">
      <alignment wrapText="1"/>
    </xf>
    <xf numFmtId="164" fontId="6" fillId="0" borderId="0" xfId="0" applyNumberFormat="1" applyFont="1"/>
    <xf numFmtId="10" fontId="6" fillId="0" borderId="0" xfId="0" applyNumberFormat="1" applyFont="1"/>
    <xf numFmtId="0" fontId="9" fillId="2" borderId="0" xfId="0" applyFont="1" applyFill="1"/>
    <xf numFmtId="0" fontId="10" fillId="0" borderId="0" xfId="0" applyFont="1"/>
    <xf numFmtId="9" fontId="10" fillId="0" borderId="0" xfId="0" applyNumberFormat="1" applyFont="1"/>
    <xf numFmtId="10" fontId="10" fillId="0" borderId="0" xfId="0" applyNumberFormat="1" applyFont="1"/>
    <xf numFmtId="164" fontId="10" fillId="0" borderId="0" xfId="0" applyNumberFormat="1" applyFont="1"/>
    <xf numFmtId="164" fontId="10" fillId="0" borderId="0" xfId="1" applyNumberFormat="1" applyFont="1"/>
    <xf numFmtId="0" fontId="6" fillId="0" borderId="0" xfId="0" applyFont="1" applyAlignment="1">
      <alignment wrapText="1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C14F-5959-4219-A2FE-50A0F8C03133}">
  <dimension ref="A1:D14"/>
  <sheetViews>
    <sheetView tabSelected="1" workbookViewId="0">
      <selection activeCell="B11" sqref="B11"/>
    </sheetView>
  </sheetViews>
  <sheetFormatPr defaultRowHeight="14.5" x14ac:dyDescent="0.35"/>
  <cols>
    <col min="1" max="1" width="57.7265625" style="3" customWidth="1"/>
    <col min="2" max="2" width="20" style="3" bestFit="1" customWidth="1"/>
    <col min="3" max="3" width="60.7265625" style="3" customWidth="1"/>
    <col min="4" max="4" width="11.1796875" style="3" bestFit="1" customWidth="1"/>
    <col min="5" max="16384" width="8.7265625" style="3"/>
  </cols>
  <sheetData>
    <row r="1" spans="1:4" ht="21" customHeight="1" x14ac:dyDescent="0.35">
      <c r="A1" s="19" t="s">
        <v>46</v>
      </c>
      <c r="B1" s="19"/>
      <c r="C1" s="19"/>
      <c r="D1" s="14"/>
    </row>
    <row r="2" spans="1:4" x14ac:dyDescent="0.35">
      <c r="A2" s="19"/>
      <c r="B2" s="19"/>
      <c r="C2" s="19"/>
      <c r="D2" s="6"/>
    </row>
    <row r="3" spans="1:4" x14ac:dyDescent="0.35">
      <c r="A3" s="19"/>
      <c r="B3" s="19"/>
      <c r="C3" s="19"/>
      <c r="D3" s="6"/>
    </row>
    <row r="4" spans="1:4" x14ac:dyDescent="0.35">
      <c r="B4" s="6"/>
      <c r="C4" s="6"/>
      <c r="D4" s="6"/>
    </row>
    <row r="6" spans="1:4" ht="26.5" customHeight="1" x14ac:dyDescent="0.35">
      <c r="A6" s="15" t="s">
        <v>29</v>
      </c>
      <c r="B6" s="15" t="s">
        <v>30</v>
      </c>
      <c r="C6" s="15" t="s">
        <v>47</v>
      </c>
    </row>
    <row r="7" spans="1:4" x14ac:dyDescent="0.35">
      <c r="A7" s="3" t="s">
        <v>31</v>
      </c>
      <c r="B7" s="6">
        <f>SUM('DCF Model &amp; Data'!E29:I29)</f>
        <v>9313.9938325031217</v>
      </c>
      <c r="C7" s="3" t="s">
        <v>32</v>
      </c>
    </row>
    <row r="8" spans="1:4" x14ac:dyDescent="0.35">
      <c r="A8" s="3" t="s">
        <v>33</v>
      </c>
      <c r="B8" s="6">
        <f>('DCF Model &amp; Data'!I28*(1+'DCF Model &amp; Data'!B20))/('DCF Model &amp; Data'!$B$19-'DCF Model &amp; Data'!$B$20)</f>
        <v>38700.740986958044</v>
      </c>
      <c r="C8" s="3" t="s">
        <v>45</v>
      </c>
    </row>
    <row r="9" spans="1:4" x14ac:dyDescent="0.35">
      <c r="A9" s="3" t="s">
        <v>34</v>
      </c>
      <c r="B9" s="6">
        <f>B8/((1+'DCF Model &amp; Data'!$B$19)^5)</f>
        <v>25152.826240426832</v>
      </c>
      <c r="C9" s="3" t="s">
        <v>35</v>
      </c>
    </row>
    <row r="10" spans="1:4" x14ac:dyDescent="0.35">
      <c r="A10" s="3" t="s">
        <v>36</v>
      </c>
      <c r="B10" s="6">
        <f>B7+B9</f>
        <v>34466.820072929957</v>
      </c>
      <c r="C10" s="3" t="s">
        <v>37</v>
      </c>
    </row>
    <row r="11" spans="1:4" x14ac:dyDescent="0.35">
      <c r="A11" s="3" t="s">
        <v>38</v>
      </c>
      <c r="B11" s="6">
        <f>'DCF Model &amp; Data'!B22</f>
        <v>2100</v>
      </c>
      <c r="C11" s="3" t="s">
        <v>39</v>
      </c>
    </row>
    <row r="12" spans="1:4" x14ac:dyDescent="0.35">
      <c r="A12" s="3" t="s">
        <v>40</v>
      </c>
      <c r="B12" s="6">
        <f>B10+B11</f>
        <v>36566.820072929957</v>
      </c>
      <c r="C12" s="3" t="s">
        <v>41</v>
      </c>
    </row>
    <row r="13" spans="1:4" x14ac:dyDescent="0.35">
      <c r="A13" s="3" t="s">
        <v>42</v>
      </c>
      <c r="B13" s="6">
        <f>'DCF Model &amp; Data'!B21</f>
        <v>1055.5</v>
      </c>
      <c r="C13" s="3" t="s">
        <v>43</v>
      </c>
    </row>
    <row r="14" spans="1:4" x14ac:dyDescent="0.35">
      <c r="A14" s="9" t="s">
        <v>48</v>
      </c>
      <c r="B14" s="12">
        <f>B12/B13</f>
        <v>34.644073967721418</v>
      </c>
      <c r="C14" s="9" t="s">
        <v>44</v>
      </c>
    </row>
  </sheetData>
  <dataConsolidate/>
  <mergeCells count="1">
    <mergeCell ref="A1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D85A-C923-40A8-AAA2-674F76065C50}">
  <dimension ref="A1:I35"/>
  <sheetViews>
    <sheetView workbookViewId="0">
      <selection activeCell="A8" sqref="A8"/>
    </sheetView>
  </sheetViews>
  <sheetFormatPr defaultRowHeight="14.5" x14ac:dyDescent="0.35"/>
  <cols>
    <col min="1" max="1" width="57.453125" style="3" bestFit="1" customWidth="1"/>
    <col min="2" max="2" width="14.1796875" style="3" customWidth="1"/>
    <col min="3" max="3" width="14.36328125" style="3" customWidth="1"/>
    <col min="4" max="4" width="14" style="3" customWidth="1"/>
    <col min="5" max="5" width="13.54296875" style="3" customWidth="1"/>
    <col min="6" max="6" width="14.1796875" style="3" customWidth="1"/>
    <col min="7" max="7" width="13.90625" style="3" customWidth="1"/>
    <col min="8" max="8" width="13.1796875" style="3" customWidth="1"/>
    <col min="9" max="9" width="13.26953125" style="3" customWidth="1"/>
    <col min="10" max="16384" width="8.7265625" style="3"/>
  </cols>
  <sheetData>
    <row r="1" spans="1:9" x14ac:dyDescent="0.35">
      <c r="A1" s="17" t="s">
        <v>8</v>
      </c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8"/>
      <c r="B2" s="18"/>
      <c r="C2" s="18"/>
      <c r="D2" s="18"/>
      <c r="E2" s="18"/>
      <c r="F2" s="18"/>
      <c r="G2" s="18"/>
      <c r="H2" s="18"/>
      <c r="I2" s="18"/>
    </row>
    <row r="3" spans="1:9" x14ac:dyDescent="0.35">
      <c r="A3" s="18"/>
      <c r="B3" s="18"/>
      <c r="C3" s="18"/>
      <c r="D3" s="18"/>
      <c r="E3" s="18"/>
      <c r="F3" s="18"/>
      <c r="G3" s="18"/>
      <c r="H3" s="18"/>
      <c r="I3" s="18"/>
    </row>
    <row r="4" spans="1:9" x14ac:dyDescent="0.35">
      <c r="A4" s="18"/>
      <c r="B4" s="18"/>
      <c r="C4" s="18"/>
      <c r="D4" s="18"/>
      <c r="E4" s="18"/>
      <c r="F4" s="18"/>
      <c r="G4" s="18"/>
      <c r="H4" s="18"/>
      <c r="I4" s="18"/>
    </row>
    <row r="6" spans="1:9" ht="33" customHeight="1" x14ac:dyDescent="0.55000000000000004">
      <c r="A6" s="8" t="s">
        <v>27</v>
      </c>
      <c r="B6" s="5" t="s">
        <v>5</v>
      </c>
      <c r="C6" s="5" t="s">
        <v>4</v>
      </c>
      <c r="D6" s="5" t="s">
        <v>3</v>
      </c>
    </row>
    <row r="7" spans="1:9" x14ac:dyDescent="0.35">
      <c r="A7" s="3" t="s">
        <v>0</v>
      </c>
      <c r="B7" s="6">
        <v>13443.8</v>
      </c>
      <c r="C7" s="6">
        <v>13948.5</v>
      </c>
      <c r="D7" s="6">
        <v>15544.3</v>
      </c>
    </row>
    <row r="8" spans="1:9" x14ac:dyDescent="0.35">
      <c r="A8" s="3" t="s">
        <v>1</v>
      </c>
      <c r="B8" s="6">
        <v>2060.6999999999998</v>
      </c>
      <c r="C8" s="6">
        <v>1558</v>
      </c>
      <c r="D8" s="6">
        <v>2374.1999999999998</v>
      </c>
    </row>
    <row r="9" spans="1:9" x14ac:dyDescent="0.35">
      <c r="A9" s="3" t="s">
        <v>2</v>
      </c>
      <c r="B9" s="6">
        <v>1917.1</v>
      </c>
      <c r="C9" s="6">
        <v>1611.6</v>
      </c>
      <c r="D9" s="6">
        <v>2173.6999999999998</v>
      </c>
    </row>
    <row r="11" spans="1:9" x14ac:dyDescent="0.35">
      <c r="A11" s="3" t="s">
        <v>6</v>
      </c>
      <c r="B11" s="6">
        <v>1059.5</v>
      </c>
      <c r="C11" s="6">
        <v>1214.4000000000001</v>
      </c>
      <c r="D11" s="6">
        <v>1373.4</v>
      </c>
    </row>
    <row r="12" spans="1:9" x14ac:dyDescent="0.35">
      <c r="A12" s="3" t="s">
        <v>7</v>
      </c>
      <c r="B12" s="6">
        <v>2391.9</v>
      </c>
      <c r="C12" s="6">
        <v>1552.5</v>
      </c>
      <c r="D12" s="6">
        <v>1892.4</v>
      </c>
    </row>
    <row r="15" spans="1:9" ht="23" customHeight="1" x14ac:dyDescent="0.35">
      <c r="A15" s="16" t="s">
        <v>9</v>
      </c>
      <c r="C15" s="3" t="s">
        <v>49</v>
      </c>
    </row>
    <row r="16" spans="1:9" x14ac:dyDescent="0.35">
      <c r="A16" s="3" t="s">
        <v>10</v>
      </c>
      <c r="B16" s="10">
        <v>0.05</v>
      </c>
      <c r="C16" s="3" t="s">
        <v>17</v>
      </c>
    </row>
    <row r="17" spans="1:9" x14ac:dyDescent="0.35">
      <c r="A17" s="3" t="s">
        <v>11</v>
      </c>
      <c r="B17" s="11">
        <v>0.153</v>
      </c>
      <c r="C17" s="3" t="s">
        <v>28</v>
      </c>
    </row>
    <row r="18" spans="1:9" x14ac:dyDescent="0.35">
      <c r="A18" s="3" t="s">
        <v>12</v>
      </c>
      <c r="B18" s="11">
        <v>0.125</v>
      </c>
    </row>
    <row r="19" spans="1:9" x14ac:dyDescent="0.35">
      <c r="A19" s="3" t="s">
        <v>13</v>
      </c>
      <c r="B19" s="11">
        <v>0.09</v>
      </c>
    </row>
    <row r="20" spans="1:9" x14ac:dyDescent="0.35">
      <c r="A20" s="3" t="s">
        <v>14</v>
      </c>
      <c r="B20" s="11">
        <v>0.02</v>
      </c>
    </row>
    <row r="21" spans="1:9" x14ac:dyDescent="0.35">
      <c r="A21" s="3" t="s">
        <v>15</v>
      </c>
      <c r="B21" s="13">
        <v>1055.5</v>
      </c>
    </row>
    <row r="22" spans="1:9" x14ac:dyDescent="0.35">
      <c r="A22" s="3" t="s">
        <v>16</v>
      </c>
      <c r="B22" s="12">
        <v>2100</v>
      </c>
    </row>
    <row r="24" spans="1:9" ht="24" customHeight="1" x14ac:dyDescent="0.35">
      <c r="A24" s="16" t="s">
        <v>18</v>
      </c>
    </row>
    <row r="25" spans="1:9" x14ac:dyDescent="0.35">
      <c r="A25" s="4" t="s">
        <v>19</v>
      </c>
      <c r="B25" s="4" t="s">
        <v>23</v>
      </c>
      <c r="C25" s="4" t="s">
        <v>24</v>
      </c>
      <c r="D25" s="4" t="s">
        <v>25</v>
      </c>
      <c r="E25" s="4" t="s">
        <v>50</v>
      </c>
      <c r="F25" s="4" t="s">
        <v>51</v>
      </c>
      <c r="G25" s="4" t="s">
        <v>52</v>
      </c>
      <c r="H25" s="4" t="s">
        <v>53</v>
      </c>
      <c r="I25" s="4" t="s">
        <v>54</v>
      </c>
    </row>
    <row r="26" spans="1:9" x14ac:dyDescent="0.35">
      <c r="A26" s="1" t="s">
        <v>0</v>
      </c>
      <c r="B26" s="6">
        <f>B7</f>
        <v>13443.8</v>
      </c>
      <c r="C26" s="6">
        <f t="shared" ref="C26:D26" si="0">C7</f>
        <v>13948.5</v>
      </c>
      <c r="D26" s="6">
        <f t="shared" si="0"/>
        <v>15544.3</v>
      </c>
      <c r="E26" s="6">
        <f>D26*(1+$B$16)</f>
        <v>16321.514999999999</v>
      </c>
      <c r="F26" s="6">
        <f t="shared" ref="F26:I26" si="1">E26*(1+$B$16)</f>
        <v>17137.590749999999</v>
      </c>
      <c r="G26" s="6">
        <f t="shared" si="1"/>
        <v>17994.4702875</v>
      </c>
      <c r="H26" s="6">
        <f t="shared" si="1"/>
        <v>18894.193801875001</v>
      </c>
      <c r="I26" s="6">
        <f t="shared" si="1"/>
        <v>19838.903491968751</v>
      </c>
    </row>
    <row r="27" spans="1:9" x14ac:dyDescent="0.35">
      <c r="A27" s="1" t="s">
        <v>20</v>
      </c>
      <c r="B27" s="6">
        <f>B8</f>
        <v>2060.6999999999998</v>
      </c>
      <c r="C27" s="6">
        <f t="shared" ref="C27:D27" si="2">C8</f>
        <v>1558</v>
      </c>
      <c r="D27" s="6">
        <f t="shared" si="2"/>
        <v>2374.1999999999998</v>
      </c>
      <c r="E27" s="6">
        <f>E26*$B$17</f>
        <v>2497.1917949999997</v>
      </c>
      <c r="F27" s="6">
        <f t="shared" ref="F27:I27" si="3">F26*$B$17</f>
        <v>2622.0513847499997</v>
      </c>
      <c r="G27" s="6">
        <f t="shared" si="3"/>
        <v>2753.1539539874998</v>
      </c>
      <c r="H27" s="6">
        <f t="shared" si="3"/>
        <v>2890.8116516868749</v>
      </c>
      <c r="I27" s="6">
        <f t="shared" si="3"/>
        <v>3035.352234271219</v>
      </c>
    </row>
    <row r="28" spans="1:9" x14ac:dyDescent="0.35">
      <c r="A28" s="1" t="s">
        <v>21</v>
      </c>
      <c r="B28" s="6" t="s">
        <v>26</v>
      </c>
      <c r="C28" s="6" t="s">
        <v>26</v>
      </c>
      <c r="D28" s="6" t="s">
        <v>26</v>
      </c>
      <c r="E28" s="12">
        <f>E27*(1-$B$18)</f>
        <v>2185.0428206249999</v>
      </c>
      <c r="F28" s="12">
        <f t="shared" ref="F28:I28" si="4">F27*(1-$B$18)</f>
        <v>2294.2949616562496</v>
      </c>
      <c r="G28" s="12">
        <f t="shared" si="4"/>
        <v>2409.0097097390621</v>
      </c>
      <c r="H28" s="12">
        <f t="shared" si="4"/>
        <v>2529.4601952260155</v>
      </c>
      <c r="I28" s="12">
        <f t="shared" si="4"/>
        <v>2655.9332049873165</v>
      </c>
    </row>
    <row r="29" spans="1:9" x14ac:dyDescent="0.35">
      <c r="A29" s="2" t="s">
        <v>22</v>
      </c>
      <c r="B29" s="3" t="s">
        <v>26</v>
      </c>
      <c r="C29" s="3" t="s">
        <v>26</v>
      </c>
      <c r="D29" s="3" t="s">
        <v>26</v>
      </c>
      <c r="E29" s="12">
        <f>E28/(1+$B$19)^1</f>
        <v>2004.6264409403668</v>
      </c>
      <c r="F29" s="12">
        <f>F28/(1+$B$19)^2</f>
        <v>1931.0621678783345</v>
      </c>
      <c r="G29" s="12">
        <f>G28/(1+$B$19)^3</f>
        <v>1860.197501167203</v>
      </c>
      <c r="H29" s="12">
        <f>H28/(1+$B$19)^4</f>
        <v>1791.933372684003</v>
      </c>
      <c r="I29" s="12">
        <f>I28/(1+$B$19)^5</f>
        <v>1726.1743498332139</v>
      </c>
    </row>
    <row r="30" spans="1:9" x14ac:dyDescent="0.35">
      <c r="A30" s="1" t="s">
        <v>6</v>
      </c>
      <c r="B30" s="6">
        <f>B11</f>
        <v>1059.5</v>
      </c>
      <c r="C30" s="6">
        <f t="shared" ref="C30:D30" si="5">C11</f>
        <v>1214.4000000000001</v>
      </c>
      <c r="D30" s="6">
        <f t="shared" si="5"/>
        <v>1373.4</v>
      </c>
    </row>
    <row r="32" spans="1:9" x14ac:dyDescent="0.35">
      <c r="G32" s="6"/>
    </row>
    <row r="33" spans="7:7" x14ac:dyDescent="0.35">
      <c r="G33" s="7"/>
    </row>
    <row r="35" spans="7:7" x14ac:dyDescent="0.35">
      <c r="G35" s="6"/>
    </row>
  </sheetData>
  <mergeCells count="1">
    <mergeCell ref="A1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Valuation Summary</vt:lpstr>
      <vt:lpstr>DCF Model &amp;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Sirisilla</dc:creator>
  <cp:lastModifiedBy>Rahul Sirisilla</cp:lastModifiedBy>
  <dcterms:created xsi:type="dcterms:W3CDTF">2026-05-29T13:40:44Z</dcterms:created>
  <dcterms:modified xsi:type="dcterms:W3CDTF">2026-06-05T18:21:01Z</dcterms:modified>
</cp:coreProperties>
</file>